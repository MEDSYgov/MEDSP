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beyazsapkalilar-my.sharepoint.com/personal/modar_g_med_gov_sy/Documents/إدارة تقييم الأضرار والتعافي/ملفات تتبع مشاريع الأنقاض/تقرير سير العمل للمراحل الثلاث/"/>
    </mc:Choice>
  </mc:AlternateContent>
  <xr:revisionPtr revIDLastSave="0" documentId="8_{1BA1FDA8-6B1E-4EC8-A18A-8D9A5BC11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23" i="1"/>
  <c r="D20" i="1"/>
  <c r="C8" i="1"/>
  <c r="C13" i="1"/>
  <c r="D13" i="1"/>
  <c r="C20" i="1"/>
  <c r="D8" i="1"/>
  <c r="D21" i="1" s="1"/>
  <c r="E19" i="1"/>
  <c r="E6" i="1"/>
  <c r="E7" i="1"/>
  <c r="E9" i="1"/>
  <c r="E10" i="1"/>
  <c r="E11" i="1"/>
  <c r="E12" i="1"/>
  <c r="E15" i="1"/>
  <c r="E16" i="1"/>
  <c r="E17" i="1"/>
  <c r="E18" i="1"/>
  <c r="E5" i="1"/>
  <c r="B3" i="1"/>
  <c r="C21" i="1" l="1"/>
  <c r="E21" i="1" s="1"/>
  <c r="E8" i="1"/>
  <c r="E20" i="1"/>
  <c r="E13" i="1"/>
</calcChain>
</file>

<file path=xl/sharedStrings.xml><?xml version="1.0" encoding="utf-8"?>
<sst xmlns="http://schemas.openxmlformats.org/spreadsheetml/2006/main" count="41" uniqueCount="34">
  <si>
    <t>تقرير مرحلي لحالة مشاريع ترحيل الأنقاض خلال 2026</t>
  </si>
  <si>
    <t xml:space="preserve">تاريخ التقرير </t>
  </si>
  <si>
    <t xml:space="preserve">المرحلة </t>
  </si>
  <si>
    <t>المحافظة</t>
  </si>
  <si>
    <t>الكمية المخططة (m3)</t>
  </si>
  <si>
    <t>الكمية المنفذة (m3)</t>
  </si>
  <si>
    <t xml:space="preserve">نسبة الإنجاز </t>
  </si>
  <si>
    <t>ملاحظات</t>
  </si>
  <si>
    <t>المرحلة الأولى</t>
  </si>
  <si>
    <t>ادلب</t>
  </si>
  <si>
    <t>تم الانتهاء</t>
  </si>
  <si>
    <t>اللاذقية</t>
  </si>
  <si>
    <t>حماة</t>
  </si>
  <si>
    <t>اجمالي المرحلة الاولى</t>
  </si>
  <si>
    <t>المرحلة الثانية</t>
  </si>
  <si>
    <t>حلب</t>
  </si>
  <si>
    <t>تم استخدام الكميات المتبقية من ساعات عمل الاليات ومعادلتها بسعر ترحيل الأنقاض</t>
  </si>
  <si>
    <t>ريف دير الزور</t>
  </si>
  <si>
    <t>سيتم الاجتماع اليوم 25/10/2026 مع الشركة المنفذة لتحديد الية العمل-تم الرد من قبل الشركة المنفذة حيث تم اسناد الامر لوزارة الاشغال العامة والاسكان لتتواصل مع وزارة الطوارئ وادارة الكوارث</t>
  </si>
  <si>
    <t>تم الانتهاء من العمل في مناطق معرة النعمان ومركز ادلب وخان شيخون وجسر الشغور ولا زال العمل جاري في اريحا</t>
  </si>
  <si>
    <t>تم التوقف بتاريخ 6/10/2026 الساعة 11:00 صباحا نظرا لسوء الاحوال الجوية وتم استئناف العمل , توقف العمل بتاريخ 12/10/2026 بستة مواقع من اصل تسعة مواقع بسبب عدم توفر الاليات ومازوت للاليات وبتاريخ 13-14/ 10 /2026 يوجد توقف في 7 مناطق بسبب عدم توفر المازوت وتم ارسال كتاب تبرير من المقاول بتاريخ 14/10/2026 الى مديرية اللاذقية للنظر بالاسباب واحتسابها كمدة مبررة. انخفاض الانتاجية وتوقف العمل ببعض المناطق بتاريخ 21-22/10/2026 بسبب انقطاع مادة المازوت-انتهاء مدة العقد بتاريخ 25/10/2026 وتم رفع كتاب تبرير من قبل المقاول لتبرير الايام التي تم التوقف فيها عن العمل</t>
  </si>
  <si>
    <t xml:space="preserve">اجمالي المرحلة الثانية </t>
  </si>
  <si>
    <t>المرحلة الثالثة</t>
  </si>
  <si>
    <t>درعا</t>
  </si>
  <si>
    <t>تم فض عروض لمنطقتين لكن السعر غير مناسب وتم ارسال العروض الى الدعم التنفيذي للتفاوض مع المقاولين</t>
  </si>
  <si>
    <t>ريف دمشق</t>
  </si>
  <si>
    <t>سيتم غدا الاربعاء 28/10/2026 افتتاح المشروع في منطقة حرستا حي العجمي</t>
  </si>
  <si>
    <t>من المتوقع البدء بالمشروع بداية الاسبوع القادم</t>
  </si>
  <si>
    <t>حمص</t>
  </si>
  <si>
    <t>يتم التفاوض مع المقاولين لتقدير كمية الوقود اللازمة للمشروع</t>
  </si>
  <si>
    <t>تم توقف الاعمال في جبل سمعان بتاريخ 3/10 بسبب الامطار وسوء احوال الطقس وكان العمل مستمر في منطقة اعزاز
تم استئناف العمل في جبل سمعان بتاريخ 4/10 بعد توقف الامطار 
تم توقف الاعمال بشكل نهائي من قبل مقاولين اعزاز وجبل سمعان منذ تاريخ 7/10/2026 ولغاية تاريخ اليوم 15/10/2026 مازال العمل 
متوقفا وذلك للاسباب التاليه:
1.التأخير بتصديق العقد حتى هذا التاريخ حيث بدأت الأعمال في اعزاز  بتاريخ 1/9/2026   وبلغت نسبة الإنجاز للمشروع أكثر من 33% وبحاجة إلى صرف المستحقات المالية لقاء هذه الأعمال 
2- ارتفاع أسعار المحروقات بنسبة 40%
1- التأخير بتصديق العقد حتى هذا التاريخ حيث بدأت الأعمال في جبل سمعان بتاريخ 31/8/2026 وبلغت نسبة الإنجاز للمشروع  32% وبحاجة إلى صرف المستحقات المالية لقاء هذه الأعمال 
2- ارتفاع أسعار المحروقات بنسبة 40%
 بلغت كمية الانقاض المرحلة قبل ارتفاع سعر المحروقات اي منذ بدء العمل حتى 12/9/2026 في اعزاز 12857م3 وساعات تهذيب المكب /8/ اما في جبل سمعان بلغت الكمية 65374م3
وساعات تهذيب المكب /51/
بلغت كمية الانقاض المرحلة بعد ارتفاع سعر المحروقات من 13/9/2026 ولغاية اليوم 11/10/2026 في اعزاز 39280م3 وساعات تهذيب المكب /3/اما في جبل سمعان 78917م3 
وساعات تهذيب المكب /19/
3-تم استئناف العمل في كل من اعزاز وجبل سمعان بتاريخ 17/10/2026                                                                                                                                      يوجد 4 نقاط متوقفة عن العمل بسبب انقطاع مادة المازوت بتاريخ 25/10/2026</t>
  </si>
  <si>
    <t>بتاريخ 19/10/2026 تم انطلاق العمل في جسر الشغور وادلب ومن المتوقع البدء بمعرة النعمان وخان شيخون</t>
  </si>
  <si>
    <t xml:space="preserve">اجمالي المرحلة الثالثة </t>
  </si>
  <si>
    <t>اجمالي المراحل الثلاثة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</si>
</sst>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0"/>
      <name val="Arial"/>
      <scheme val="minor"/>
    </font>
    <font>
      <sz val="11"/>
      <color theme="1"/>
      <name val="Arial"/>
      <scheme val="minor"/>
    </font>
    <font>
      <sz val="20"/>
      <color rgb="FFFF0000"/>
      <name val="Arial"/>
      <scheme val="minor"/>
    </font>
    <font>
      <b/>
      <sz val="14"/>
      <color rgb="FFFF0000"/>
      <name val="Arial"/>
      <scheme val="minor"/>
    </font>
    <font>
      <sz val="26"/>
      <color theme="1"/>
      <name val="Arial"/>
      <family val="2"/>
      <scheme val="minor"/>
    </font>
    <font>
      <b/>
      <sz val="16"/>
      <color theme="1"/>
      <name val="Arial"/>
      <scheme val="minor"/>
    </font>
    <font>
      <b/>
      <sz val="16"/>
      <color rgb="FF0070C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0" fontId="1" fillId="0" borderId="3" xfId="1" applyNumberFormat="1" applyFont="1" applyBorder="1" applyAlignment="1">
      <alignment horizontal="center" vertical="center"/>
    </xf>
    <xf numFmtId="40" fontId="4" fillId="0" borderId="8" xfId="0" applyNumberFormat="1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 vertical="center" wrapText="1"/>
    </xf>
    <xf numFmtId="40" fontId="8" fillId="4" borderId="9" xfId="0" applyNumberFormat="1" applyFont="1" applyFill="1" applyBorder="1" applyAlignment="1">
      <alignment horizontal="center" vertical="center"/>
    </xf>
    <xf numFmtId="40" fontId="8" fillId="4" borderId="8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rightToLeft="1" tabSelected="1" topLeftCell="D6" workbookViewId="0">
      <selection activeCell="F11" sqref="F11"/>
    </sheetView>
  </sheetViews>
  <sheetFormatPr defaultRowHeight="13.9"/>
  <cols>
    <col min="1" max="1" width="22" customWidth="1"/>
    <col min="2" max="2" width="14.25" customWidth="1"/>
    <col min="3" max="3" width="24.875" customWidth="1"/>
    <col min="4" max="4" width="21.875" customWidth="1"/>
    <col min="5" max="5" width="21.75" customWidth="1"/>
    <col min="6" max="6" width="138.5" customWidth="1"/>
  </cols>
  <sheetData>
    <row r="1" spans="1:6" ht="14.25">
      <c r="A1" s="18" t="s">
        <v>0</v>
      </c>
      <c r="B1" s="18"/>
      <c r="C1" s="18"/>
      <c r="D1" s="18"/>
      <c r="E1" s="18"/>
      <c r="F1" s="18"/>
    </row>
    <row r="2" spans="1:6" ht="14.25">
      <c r="A2" s="18"/>
      <c r="B2" s="18"/>
      <c r="C2" s="18"/>
      <c r="D2" s="18"/>
      <c r="E2" s="18"/>
      <c r="F2" s="18"/>
    </row>
    <row r="3" spans="1:6" ht="26.45" customHeight="1">
      <c r="A3" s="1" t="s">
        <v>1</v>
      </c>
      <c r="B3" s="19">
        <f ca="1">TODAY()</f>
        <v>46323</v>
      </c>
      <c r="C3" s="20"/>
    </row>
    <row r="4" spans="1:6" ht="26.45" customHeight="1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6" ht="37.9" customHeight="1">
      <c r="A5" s="21" t="s">
        <v>8</v>
      </c>
      <c r="B5" s="6" t="s">
        <v>9</v>
      </c>
      <c r="C5" s="6">
        <v>562000</v>
      </c>
      <c r="D5" s="6">
        <v>705686</v>
      </c>
      <c r="E5" s="8">
        <f>D5/C5</f>
        <v>1.2556690391459076</v>
      </c>
      <c r="F5" s="7" t="s">
        <v>10</v>
      </c>
    </row>
    <row r="6" spans="1:6" ht="37.9" customHeight="1">
      <c r="A6" s="22"/>
      <c r="B6" s="6" t="s">
        <v>11</v>
      </c>
      <c r="C6" s="6">
        <v>56614</v>
      </c>
      <c r="D6" s="6">
        <v>56798</v>
      </c>
      <c r="E6" s="8">
        <f t="shared" ref="E6:E18" si="0">D6/C6</f>
        <v>1.0032500794856396</v>
      </c>
      <c r="F6" s="7" t="s">
        <v>10</v>
      </c>
    </row>
    <row r="7" spans="1:6" ht="37.9" customHeight="1">
      <c r="A7" s="23"/>
      <c r="B7" s="6" t="s">
        <v>12</v>
      </c>
      <c r="C7" s="6">
        <v>441371</v>
      </c>
      <c r="D7" s="6">
        <v>441371</v>
      </c>
      <c r="E7" s="8">
        <f t="shared" si="0"/>
        <v>1</v>
      </c>
      <c r="F7" s="7" t="s">
        <v>10</v>
      </c>
    </row>
    <row r="8" spans="1:6" ht="37.9" customHeight="1">
      <c r="A8" s="16" t="s">
        <v>13</v>
      </c>
      <c r="B8" s="17"/>
      <c r="C8" s="10">
        <f>SUM(C5:C7)</f>
        <v>1059985</v>
      </c>
      <c r="D8" s="10">
        <f>SUM(D5:D7)</f>
        <v>1203855</v>
      </c>
      <c r="E8" s="8">
        <f t="shared" si="0"/>
        <v>1.1357283357783365</v>
      </c>
      <c r="F8" s="7"/>
    </row>
    <row r="9" spans="1:6" ht="37.9" customHeight="1">
      <c r="A9" s="21" t="s">
        <v>14</v>
      </c>
      <c r="B9" s="6" t="s">
        <v>15</v>
      </c>
      <c r="C9" s="6">
        <v>548500</v>
      </c>
      <c r="D9" s="6">
        <v>549131.1</v>
      </c>
      <c r="E9" s="8">
        <f t="shared" si="0"/>
        <v>1.0011505925250683</v>
      </c>
      <c r="F9" s="11" t="s">
        <v>16</v>
      </c>
    </row>
    <row r="10" spans="1:6" ht="54" customHeight="1">
      <c r="A10" s="22"/>
      <c r="B10" s="6" t="s">
        <v>17</v>
      </c>
      <c r="C10" s="6">
        <v>325075</v>
      </c>
      <c r="D10" s="6">
        <v>0</v>
      </c>
      <c r="E10" s="8">
        <f t="shared" si="0"/>
        <v>0</v>
      </c>
      <c r="F10" s="11" t="s">
        <v>18</v>
      </c>
    </row>
    <row r="11" spans="1:6" ht="37.9" customHeight="1">
      <c r="A11" s="22"/>
      <c r="B11" s="6" t="s">
        <v>9</v>
      </c>
      <c r="C11" s="6">
        <v>641500</v>
      </c>
      <c r="D11" s="6">
        <v>624377</v>
      </c>
      <c r="E11" s="8">
        <f t="shared" si="0"/>
        <v>0.9733078721745908</v>
      </c>
      <c r="F11" s="11" t="s">
        <v>19</v>
      </c>
    </row>
    <row r="12" spans="1:6" ht="93.75" customHeight="1">
      <c r="A12" s="23"/>
      <c r="B12" s="6" t="s">
        <v>11</v>
      </c>
      <c r="C12" s="6">
        <v>50000</v>
      </c>
      <c r="D12" s="6">
        <v>39823</v>
      </c>
      <c r="E12" s="8">
        <f t="shared" si="0"/>
        <v>0.79645999999999995</v>
      </c>
      <c r="F12" s="11" t="s">
        <v>20</v>
      </c>
    </row>
    <row r="13" spans="1:6" ht="37.9" customHeight="1">
      <c r="A13" s="16" t="s">
        <v>21</v>
      </c>
      <c r="B13" s="17"/>
      <c r="C13" s="10">
        <f>SUM(C9:C12)</f>
        <v>1565075</v>
      </c>
      <c r="D13" s="10">
        <f>SUM(D9:D12)</f>
        <v>1213331.1000000001</v>
      </c>
      <c r="E13" s="8">
        <f t="shared" ref="E13" si="1">D13/C13</f>
        <v>0.77525428493842152</v>
      </c>
      <c r="F13" s="11"/>
    </row>
    <row r="14" spans="1:6" ht="95.25" customHeight="1">
      <c r="A14" s="21" t="s">
        <v>22</v>
      </c>
      <c r="B14" s="6" t="s">
        <v>23</v>
      </c>
      <c r="C14" s="6">
        <v>319500</v>
      </c>
      <c r="D14" s="6">
        <v>0</v>
      </c>
      <c r="E14" s="8">
        <f>D14/C14</f>
        <v>0</v>
      </c>
      <c r="F14" s="11" t="s">
        <v>24</v>
      </c>
    </row>
    <row r="15" spans="1:6" ht="56.25" customHeight="1">
      <c r="A15" s="22"/>
      <c r="B15" s="6" t="s">
        <v>25</v>
      </c>
      <c r="C15" s="6">
        <v>300000</v>
      </c>
      <c r="D15" s="6">
        <v>0</v>
      </c>
      <c r="E15" s="8">
        <f t="shared" si="0"/>
        <v>0</v>
      </c>
      <c r="F15" s="11" t="s">
        <v>26</v>
      </c>
    </row>
    <row r="16" spans="1:6" ht="90" customHeight="1">
      <c r="A16" s="22"/>
      <c r="B16" s="6" t="s">
        <v>12</v>
      </c>
      <c r="C16" s="6">
        <v>238004</v>
      </c>
      <c r="D16" s="6">
        <v>0</v>
      </c>
      <c r="E16" s="8">
        <f t="shared" si="0"/>
        <v>0</v>
      </c>
      <c r="F16" s="11" t="s">
        <v>27</v>
      </c>
    </row>
    <row r="17" spans="1:6" ht="127.5" customHeight="1">
      <c r="A17" s="22"/>
      <c r="B17" s="6" t="s">
        <v>28</v>
      </c>
      <c r="C17" s="6">
        <v>736240</v>
      </c>
      <c r="D17" s="6">
        <v>0</v>
      </c>
      <c r="E17" s="8">
        <f t="shared" si="0"/>
        <v>0</v>
      </c>
      <c r="F17" s="11" t="s">
        <v>29</v>
      </c>
    </row>
    <row r="18" spans="1:6" ht="321.75">
      <c r="A18" s="22"/>
      <c r="B18" s="6" t="s">
        <v>15</v>
      </c>
      <c r="C18" s="6">
        <v>600000</v>
      </c>
      <c r="D18" s="6">
        <v>255597</v>
      </c>
      <c r="E18" s="8">
        <f t="shared" si="0"/>
        <v>0.42599500000000001</v>
      </c>
      <c r="F18" s="11" t="s">
        <v>30</v>
      </c>
    </row>
    <row r="19" spans="1:6" ht="37.9" customHeight="1">
      <c r="A19" s="22"/>
      <c r="B19" s="6" t="s">
        <v>9</v>
      </c>
      <c r="C19" s="6">
        <v>650000</v>
      </c>
      <c r="D19" s="6">
        <v>68655</v>
      </c>
      <c r="E19" s="8">
        <f>D19/C19</f>
        <v>0.10562307692307692</v>
      </c>
      <c r="F19" s="7" t="s">
        <v>31</v>
      </c>
    </row>
    <row r="20" spans="1:6" ht="37.9" customHeight="1">
      <c r="A20" s="16" t="s">
        <v>32</v>
      </c>
      <c r="B20" s="17"/>
      <c r="C20" s="10">
        <f>SUM(C14:C19)</f>
        <v>2843744</v>
      </c>
      <c r="D20" s="10">
        <f>SUM(D14:D19)</f>
        <v>324252</v>
      </c>
      <c r="E20" s="8">
        <f t="shared" ref="E20:E21" si="2">D20/C20</f>
        <v>0.11402292189451653</v>
      </c>
      <c r="F20" s="7"/>
    </row>
    <row r="21" spans="1:6" ht="56.25" customHeight="1">
      <c r="A21" s="14" t="s">
        <v>33</v>
      </c>
      <c r="B21" s="15"/>
      <c r="C21" s="12">
        <f>C8+C13+C20</f>
        <v>5468804</v>
      </c>
      <c r="D21" s="13">
        <f>D8+D13+D20</f>
        <v>2741438.1</v>
      </c>
      <c r="E21" s="8">
        <f t="shared" si="2"/>
        <v>0.50128658843871532</v>
      </c>
      <c r="F21" s="9"/>
    </row>
    <row r="23" spans="1:6">
      <c r="D23">
        <f>D5+D11</f>
        <v>1330063</v>
      </c>
    </row>
  </sheetData>
  <mergeCells count="9">
    <mergeCell ref="A21:B21"/>
    <mergeCell ref="A8:B8"/>
    <mergeCell ref="A1:F2"/>
    <mergeCell ref="B3:C3"/>
    <mergeCell ref="A5:A7"/>
    <mergeCell ref="A9:A12"/>
    <mergeCell ref="A14:A19"/>
    <mergeCell ref="A13:B13"/>
    <mergeCell ref="A20:B20"/>
  </mergeCells>
  <conditionalFormatting sqref="E5:E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{C1065157-38EA-4128-9543-34D8752F98F8}</x14:id>
        </ext>
      </extLst>
    </cfRule>
  </conditionalFormatting>
  <pageMargins left="0.7" right="0.7" top="0.75" bottom="0.75" header="0.3" footer="0.3"/>
  <pageSetup paperSize="9" scale="3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65157-38EA-4128-9543-34D8752F98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Sobhi Aljassim</dc:creator>
  <cp:keywords/>
  <dc:description/>
  <cp:lastModifiedBy/>
  <cp:revision>3</cp:revision>
  <dcterms:created xsi:type="dcterms:W3CDTF">2026-09-13T06:33:49Z</dcterms:created>
  <dcterms:modified xsi:type="dcterms:W3CDTF">2026-10-28T11:38:43Z</dcterms:modified>
  <cp:category/>
  <cp:contentStatus/>
</cp:coreProperties>
</file>